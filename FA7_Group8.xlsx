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B2ADE7708477963AD951B8506773AA04654802BC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orm Responses 3" sheetId="1" r:id="rId1"/>
    <sheet name="Sheet1" sheetId="2" r:id="rId2"/>
    <sheet name="Charts" sheetId="3" r:id="rId3"/>
  </sheet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3" l="1"/>
  <c r="B11" i="3"/>
  <c r="E10" i="3"/>
  <c r="B10" i="3"/>
  <c r="L9" i="3"/>
  <c r="E9" i="3"/>
  <c r="B9" i="3"/>
  <c r="L8" i="3"/>
  <c r="I8" i="3"/>
  <c r="H8" i="3"/>
  <c r="E8" i="3"/>
  <c r="B8" i="3"/>
  <c r="L7" i="3"/>
  <c r="I7" i="3"/>
  <c r="H7" i="3"/>
  <c r="E7" i="3"/>
  <c r="B7" i="3"/>
  <c r="L6" i="3"/>
  <c r="I6" i="3"/>
  <c r="H6" i="3"/>
  <c r="E6" i="3"/>
  <c r="B6" i="3"/>
  <c r="L5" i="3"/>
  <c r="I5" i="3"/>
  <c r="H5" i="3"/>
  <c r="E5" i="3"/>
  <c r="B5" i="3"/>
  <c r="G12" i="2"/>
  <c r="G11" i="2"/>
  <c r="J10" i="2"/>
  <c r="G10" i="2"/>
  <c r="J9" i="2"/>
  <c r="G9" i="2"/>
  <c r="J8" i="2"/>
  <c r="G8" i="2"/>
  <c r="J7" i="2"/>
  <c r="G7" i="2"/>
  <c r="J6" i="2"/>
  <c r="J5" i="2"/>
  <c r="J4" i="2"/>
  <c r="G4" i="2"/>
  <c r="J3" i="2"/>
  <c r="G3" i="2"/>
  <c r="J2" i="2"/>
  <c r="G2" i="2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1" i="1"/>
  <c r="F28" i="1"/>
  <c r="F27" i="1"/>
  <c r="F26" i="1"/>
  <c r="F25" i="1"/>
  <c r="F24" i="1"/>
  <c r="F23" i="1"/>
  <c r="F21" i="1"/>
  <c r="F20" i="1"/>
  <c r="F18" i="1"/>
  <c r="F17" i="1"/>
  <c r="F15" i="1"/>
  <c r="F12" i="1"/>
  <c r="F11" i="1"/>
  <c r="F9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7" authorId="0" shapeId="0" xr:uid="{00000000-0006-0000-0000-000001000000}">
      <text>
        <r>
          <rPr>
            <sz val="10"/>
            <rFont val="Arial"/>
            <family val="2"/>
          </rPr>
          <t>Converted from text: 120 mins</t>
        </r>
      </text>
    </comment>
    <comment ref="F8" authorId="0" shapeId="0" xr:uid="{00000000-0006-0000-0000-000002000000}">
      <text>
        <r>
          <rPr>
            <sz val="10"/>
            <rFont val="Arial"/>
            <family val="2"/>
          </rPr>
          <t>Converted from text: 2-3 hrs: midpoint 2.5 hrs</t>
        </r>
      </text>
    </comment>
    <comment ref="F10" authorId="0" shapeId="0" xr:uid="{00000000-0006-0000-0000-000003000000}">
      <text>
        <r>
          <rPr>
            <sz val="10"/>
            <rFont val="Arial"/>
            <family val="2"/>
          </rPr>
          <t>Converted from text: 20-40: midpoint</t>
        </r>
      </text>
    </comment>
    <comment ref="F13" authorId="0" shapeId="0" xr:uid="{00000000-0006-0000-0000-000004000000}">
      <text>
        <r>
          <rPr>
            <sz val="10"/>
            <rFont val="Arial"/>
            <family val="2"/>
          </rPr>
          <t>Converted from text: 150 minutes</t>
        </r>
      </text>
    </comment>
    <comment ref="F14" authorId="0" shapeId="0" xr:uid="{00000000-0006-0000-0000-000005000000}">
      <text>
        <r>
          <rPr>
            <sz val="10"/>
            <rFont val="Arial"/>
            <family val="2"/>
          </rPr>
          <t>Converted from text: 5 mins</t>
        </r>
      </text>
    </comment>
    <comment ref="F16" authorId="0" shapeId="0" xr:uid="{00000000-0006-0000-0000-000006000000}">
      <text>
        <r>
          <rPr>
            <sz val="10"/>
            <rFont val="Arial"/>
            <family val="2"/>
          </rPr>
          <t>Converted from text: 30 mins</t>
        </r>
      </text>
    </comment>
    <comment ref="F19" authorId="0" shapeId="0" xr:uid="{00000000-0006-0000-0000-000007000000}">
      <text>
        <r>
          <rPr>
            <sz val="10"/>
            <rFont val="Arial"/>
            <family val="2"/>
          </rPr>
          <t>Converted from text: 30mins</t>
        </r>
      </text>
    </comment>
    <comment ref="F22" authorId="0" shapeId="0" xr:uid="{00000000-0006-0000-0000-000008000000}">
      <text>
        <r>
          <rPr>
            <sz val="10"/>
            <rFont val="Arial"/>
            <family val="2"/>
          </rPr>
          <t>Converted from text: 30 minutes</t>
        </r>
      </text>
    </comment>
    <comment ref="F29" authorId="0" shapeId="0" xr:uid="{00000000-0006-0000-0000-000009000000}">
      <text>
        <r>
          <rPr>
            <sz val="10"/>
            <rFont val="Arial"/>
            <family val="2"/>
          </rPr>
          <t>Converted from text: 1 hour</t>
        </r>
      </text>
    </comment>
    <comment ref="F30" authorId="0" shapeId="0" xr:uid="{00000000-0006-0000-0000-00000A000000}">
      <text>
        <r>
          <rPr>
            <sz val="10"/>
            <rFont val="Arial"/>
            <family val="2"/>
          </rPr>
          <t>Converted from text: 90 minutes</t>
        </r>
      </text>
    </comment>
    <comment ref="F32" authorId="0" shapeId="0" xr:uid="{00000000-0006-0000-0000-00000B000000}">
      <text>
        <r>
          <rPr>
            <sz val="10"/>
            <rFont val="Arial"/>
            <family val="2"/>
          </rPr>
          <t>Converted from text: 60 minutes</t>
        </r>
      </text>
    </comment>
  </commentList>
</comments>
</file>

<file path=xl/sharedStrings.xml><?xml version="1.0" encoding="utf-8"?>
<sst xmlns="http://schemas.openxmlformats.org/spreadsheetml/2006/main" count="318" uniqueCount="149">
  <si>
    <t>Timestamp</t>
  </si>
  <si>
    <t>Email Address</t>
  </si>
  <si>
    <t xml:space="preserve">  What is your current Grade/Year level?  </t>
  </si>
  <si>
    <t xml:space="preserve">On an average visit, exactly how many minutes do you usually spend inside the school library?
(Please give your best estimate as a single number, not a range. For example: 45, not 30-60).  </t>
  </si>
  <si>
    <t xml:space="preserve">What is your primary reason for visiting the library? (Check one)  </t>
  </si>
  <si>
    <t>Minutes (cleaned)</t>
  </si>
  <si>
    <t>lorenzokylecainglet1300@gmail.com</t>
  </si>
  <si>
    <t>2nd year</t>
  </si>
  <si>
    <t>Studying / Doing Homework, Using computers / printing</t>
  </si>
  <si>
    <t>angelonavarro25136@gmail.com</t>
  </si>
  <si>
    <t>2nd Year</t>
  </si>
  <si>
    <t>Resting / Waiting for next class</t>
  </si>
  <si>
    <t>cielom884@gmail.com</t>
  </si>
  <si>
    <t>4th Year</t>
  </si>
  <si>
    <t>Studying / Doing Homework, Group Meetings / Projects, Resting / Waiting for next class, Using computers / printing</t>
  </si>
  <si>
    <t>bembombales121@gmail.com</t>
  </si>
  <si>
    <t>1st year</t>
  </si>
  <si>
    <t>eriannepineda@gmail.com</t>
  </si>
  <si>
    <t>4th year</t>
  </si>
  <si>
    <t>arviesinocruz28@gmail.com</t>
  </si>
  <si>
    <t>120 mins</t>
  </si>
  <si>
    <t>Studying / Doing Homework, Research / Borrowing Books, Group Meetings / Projects, Resting / Waiting for next class, Using computers / printing</t>
  </si>
  <si>
    <t>gwen1214.genosa@gmail.com</t>
  </si>
  <si>
    <t>4th yr</t>
  </si>
  <si>
    <t>2-3 hrs</t>
  </si>
  <si>
    <t>srh.sphg@gmail.com</t>
  </si>
  <si>
    <t>Studying / Doing Homework, Research / Borrowing Books, Resting / Waiting for next class</t>
  </si>
  <si>
    <t>lebronjames.pileo03@gmail.com</t>
  </si>
  <si>
    <t xml:space="preserve">3rd year </t>
  </si>
  <si>
    <t>20-40</t>
  </si>
  <si>
    <t>Studying / Doing Homework, Resting / Waiting for next class, Using computers / printing</t>
  </si>
  <si>
    <t>adreinnezharyhalle@gmail.com</t>
  </si>
  <si>
    <t>Studying / Doing Homework, Resting / Waiting for next class</t>
  </si>
  <si>
    <t>2025044981@feu.edu.ph</t>
  </si>
  <si>
    <t>1st Year</t>
  </si>
  <si>
    <t>Studying / Doing Homework, Group Meetings / Projects, Resting / Waiting for next class</t>
  </si>
  <si>
    <t>2024038791@feu.edu.ph</t>
  </si>
  <si>
    <t>3rd year</t>
  </si>
  <si>
    <t>150 minutes</t>
  </si>
  <si>
    <t>Studying / Doing Homework</t>
  </si>
  <si>
    <t>ruedajoyce826@gmail.com</t>
  </si>
  <si>
    <t>Year 4</t>
  </si>
  <si>
    <t>5 mins</t>
  </si>
  <si>
    <t>Using computers / printing</t>
  </si>
  <si>
    <t>ericka.ordizo@gmail.com</t>
  </si>
  <si>
    <t xml:space="preserve">First year </t>
  </si>
  <si>
    <t>2025041521@feu.edu.ph</t>
  </si>
  <si>
    <t>30 mins</t>
  </si>
  <si>
    <t>borelatteyy@gmail.com</t>
  </si>
  <si>
    <t xml:space="preserve">freshman </t>
  </si>
  <si>
    <t>Resting / Waiting for next class, Using computers / printing</t>
  </si>
  <si>
    <t>mjbacojo04@gmail.com</t>
  </si>
  <si>
    <t>caninorhea@gmail.com</t>
  </si>
  <si>
    <t>30mins</t>
  </si>
  <si>
    <t>Group Meetings / Projects</t>
  </si>
  <si>
    <t>lancenathanielorlina@gmail.com</t>
  </si>
  <si>
    <t>romerogladimir01@gmail.com</t>
  </si>
  <si>
    <t>2025013801@feu.edu.ph</t>
  </si>
  <si>
    <t>30 minutes</t>
  </si>
  <si>
    <t>2025003841@feu.edu.ph</t>
  </si>
  <si>
    <t>dongjing06_39@gmail.com</t>
  </si>
  <si>
    <t>lopez.iandee2004@gmail.com</t>
  </si>
  <si>
    <t>Studying / Doing Homework, Research / Borrowing Books, Using computers / printing</t>
  </si>
  <si>
    <t>cantelajsg@gmail.com</t>
  </si>
  <si>
    <t>adenalems@gmail.com</t>
  </si>
  <si>
    <t>jerishjohnvelarde@gmail.com</t>
  </si>
  <si>
    <t>Group Meetings / Projects, Using computers / printing</t>
  </si>
  <si>
    <t>venisseoliva@gmail.com</t>
  </si>
  <si>
    <t xml:space="preserve">4th </t>
  </si>
  <si>
    <t>1 hour</t>
  </si>
  <si>
    <t>paraguyayuri@gmail.com</t>
  </si>
  <si>
    <t>1st year college</t>
  </si>
  <si>
    <t>90 minutes</t>
  </si>
  <si>
    <t>Studying / Doing Homework, Research / Borrowing Books, Group Meetings / Projects, Resting / Waiting for next class</t>
  </si>
  <si>
    <t>michaelprocopiovalte16@gmail.com</t>
  </si>
  <si>
    <t>Year 3</t>
  </si>
  <si>
    <t>jj7ssnllanllo@gmail.com</t>
  </si>
  <si>
    <t>3rd yr</t>
  </si>
  <si>
    <t>60 minutes</t>
  </si>
  <si>
    <t>tupasaldrin27@gmail.com</t>
  </si>
  <si>
    <t>jordanlegayada@gmail.com</t>
  </si>
  <si>
    <t>2023036671@feu.edu.ph</t>
  </si>
  <si>
    <t>2023037871@feu.edu.ph</t>
  </si>
  <si>
    <t>4th</t>
  </si>
  <si>
    <t>happycork@gmail.com</t>
  </si>
  <si>
    <t>2023037181@feu.edu.ph</t>
  </si>
  <si>
    <t>danielmiles@gmail.com</t>
  </si>
  <si>
    <t>lancegodfrey@gmail.com</t>
  </si>
  <si>
    <t>Research / Borrowing Books</t>
  </si>
  <si>
    <t>angelreese@gmail.com</t>
  </si>
  <si>
    <t>3rd</t>
  </si>
  <si>
    <t>sreynolds.nursing25@gmail.com</t>
  </si>
  <si>
    <t>isabella.ramirez.nyu@gmail.com</t>
  </si>
  <si>
    <t>ediaz.design27@gmail.com</t>
  </si>
  <si>
    <t>noah.patel.engineering@gmail.com</t>
  </si>
  <si>
    <t>lucasbennett@gmail.com</t>
  </si>
  <si>
    <t>jbautista@gmail.com</t>
  </si>
  <si>
    <t>2025041491@feu.edu.ph</t>
  </si>
  <si>
    <t>1st year College</t>
  </si>
  <si>
    <t>cnavarro.feu2026@gmail.com</t>
  </si>
  <si>
    <t>1st</t>
  </si>
  <si>
    <t>miguel.ocampo.amv2025@gmail.com</t>
  </si>
  <si>
    <t>georgebullo@gmail.com</t>
  </si>
  <si>
    <t>Respondent ID</t>
  </si>
  <si>
    <t>Time Spent (minutes)</t>
  </si>
  <si>
    <t>Primary Reason</t>
  </si>
  <si>
    <t>Grade/Year Level</t>
  </si>
  <si>
    <t>Statistics</t>
  </si>
  <si>
    <t>Value</t>
  </si>
  <si>
    <t>Bin (Minutes up to...)</t>
  </si>
  <si>
    <t>Frequency</t>
  </si>
  <si>
    <t>stduying</t>
  </si>
  <si>
    <t>Mean (μ)</t>
  </si>
  <si>
    <t>resting</t>
  </si>
  <si>
    <t>Standard Dev (σ)</t>
  </si>
  <si>
    <t>Sample Size (n)</t>
  </si>
  <si>
    <t>Empirical Rule Intervals</t>
  </si>
  <si>
    <t>+1σ (68% limit)</t>
  </si>
  <si>
    <t>-1σ (68% limit)</t>
  </si>
  <si>
    <t>+2σ (95% limit)</t>
  </si>
  <si>
    <t>using computer</t>
  </si>
  <si>
    <t>-2σ (95% limit)</t>
  </si>
  <si>
    <t>Total</t>
  </si>
  <si>
    <t>2nd</t>
  </si>
  <si>
    <t>+3σ (99.7% limit)</t>
  </si>
  <si>
    <t>-3σ (99.7% limit)</t>
  </si>
  <si>
    <t>studying</t>
  </si>
  <si>
    <t>group meeting</t>
  </si>
  <si>
    <t>research</t>
  </si>
  <si>
    <t>Library Visit Duration Survey – Charts</t>
  </si>
  <si>
    <t>Source: Sheet1 (all tables below are formulas, so charts update when Sheet1 changes).</t>
  </si>
  <si>
    <t>Minutes</t>
  </si>
  <si>
    <t>Respondents</t>
  </si>
  <si>
    <t>Primary reason</t>
  </si>
  <si>
    <t>Year level</t>
  </si>
  <si>
    <t>Avg minutes</t>
  </si>
  <si>
    <t>0–15</t>
  </si>
  <si>
    <t>Studying</t>
  </si>
  <si>
    <t>16–30</t>
  </si>
  <si>
    <t>Resting</t>
  </si>
  <si>
    <t>31–60</t>
  </si>
  <si>
    <t>Using computer</t>
  </si>
  <si>
    <t>61–120</t>
  </si>
  <si>
    <t>Group meeting</t>
  </si>
  <si>
    <t>121–180</t>
  </si>
  <si>
    <t>Research</t>
  </si>
  <si>
    <t>181–240</t>
  </si>
  <si>
    <t>241–300</t>
  </si>
  <si>
    <t>Note: "stduying" (typo) in Sheet1 column C is counted as Studying.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</si>
</sst>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0.0"/>
  </numFmts>
  <fonts count="12">
    <font>
      <sz val="10"/>
      <color rgb="FF000000"/>
      <name val="Arial"/>
      <charset val="1"/>
    </font>
    <font>
      <sz val="11"/>
      <color theme="1"/>
      <name val="Arial"/>
      <charset val="1"/>
    </font>
    <font>
      <sz val="11"/>
      <color rgb="FF0000FF"/>
      <name val="Cambria"/>
      <charset val="1"/>
    </font>
    <font>
      <sz val="10"/>
      <name val="Arial"/>
      <family val="2"/>
    </font>
    <font>
      <b/>
      <sz val="11"/>
      <color rgb="FFFFFFFF"/>
      <name val="Montserrat"/>
      <charset val="1"/>
    </font>
    <font>
      <sz val="10"/>
      <color rgb="FF1A1B20"/>
      <name val="Roboto"/>
      <charset val="1"/>
    </font>
    <font>
      <b/>
      <sz val="11"/>
      <name val="Cambria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25D90"/>
        <bgColor rgb="FF1F4E78"/>
      </patternFill>
    </fill>
    <fill>
      <patternFill patternType="solid">
        <fgColor rgb="FF1F4E78"/>
        <bgColor rgb="FF425D90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horizontal="center"/>
    </xf>
    <xf numFmtId="0" fontId="10" fillId="0" borderId="0" xfId="0" applyFont="1"/>
    <xf numFmtId="165" fontId="10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73777E"/>
      <rgbColor rgb="FF9999FF"/>
      <rgbColor rgb="FF7030A0"/>
      <rgbColor rgb="FFFFFFCC"/>
      <rgbColor rgb="FFCCFFFF"/>
      <rgbColor rgb="FF660066"/>
      <rgbColor rgb="FFED7D31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BBC04"/>
      <rgbColor rgb="FFFF9900"/>
      <rgbColor rgb="FFFF6D01"/>
      <rgbColor rgb="FF425D90"/>
      <rgbColor rgb="FF70AD47"/>
      <rgbColor rgb="FF003366"/>
      <rgbColor rgb="FF34A853"/>
      <rgbColor rgb="FF003300"/>
      <rgbColor rgb="FF333300"/>
      <rgbColor rgb="FF993300"/>
      <rgbColor rgb="FFEA4335"/>
      <rgbColor rgb="FF1F4E78"/>
      <rgbColor rgb="FF1A1B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sz="1800" b="1" strike="noStrike" spc="-1">
                <a:solidFill>
                  <a:srgbClr val="000000"/>
                </a:solidFill>
                <a:latin typeface="Arial"/>
                <a:ea typeface="Arial"/>
              </a:rPr>
              <a:t>Distribution of Time Spent in the Library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Charts!B4</c:f>
              <c:strCache>
                <c:ptCount val="1"/>
                <c:pt idx="0">
                  <c:v>Respondents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Charts!$A$5:$A$11</c:f>
              <c:strCache>
                <c:ptCount val="7"/>
                <c:pt idx="0">
                  <c:v>0–15</c:v>
                </c:pt>
                <c:pt idx="1">
                  <c:v>16–30</c:v>
                </c:pt>
                <c:pt idx="2">
                  <c:v>31–60</c:v>
                </c:pt>
                <c:pt idx="3">
                  <c:v>61–120</c:v>
                </c:pt>
                <c:pt idx="4">
                  <c:v>121–180</c:v>
                </c:pt>
                <c:pt idx="5">
                  <c:v>181–240</c:v>
                </c:pt>
                <c:pt idx="6">
                  <c:v>241–300</c:v>
                </c:pt>
              </c:strCache>
            </c:strRef>
          </c:cat>
          <c:val>
            <c:numRef>
              <c:f>Charts!$B$5:$B$11</c:f>
              <c:numCache>
                <c:formatCode>General</c:formatCode>
                <c:ptCount val="7"/>
                <c:pt idx="0">
                  <c:v>1</c:v>
                </c:pt>
                <c:pt idx="1">
                  <c:v>14</c:v>
                </c:pt>
                <c:pt idx="2">
                  <c:v>14</c:v>
                </c:pt>
                <c:pt idx="3">
                  <c:v>5</c:v>
                </c:pt>
                <c:pt idx="4">
                  <c:v>12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3-458C-BC11-85F1172F9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2881477"/>
        <c:axId val="74106205"/>
      </c:barChart>
      <c:catAx>
        <c:axId val="228814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Minutes per visit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74106205"/>
        <c:crosses val="autoZero"/>
        <c:auto val="1"/>
        <c:lblAlgn val="ctr"/>
        <c:lblOffset val="100"/>
        <c:noMultiLvlLbl val="0"/>
      </c:catAx>
      <c:valAx>
        <c:axId val="741062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Number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28814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sz="1800" b="1" strike="noStrike" spc="-1">
                <a:solidFill>
                  <a:srgbClr val="000000"/>
                </a:solidFill>
                <a:latin typeface="Arial"/>
                <a:ea typeface="Arial"/>
              </a:rPr>
              <a:t>Primary Reason for Visiting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Charts!E4</c:f>
              <c:strCache>
                <c:ptCount val="1"/>
                <c:pt idx="0">
                  <c:v>Respondents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688-44F8-837B-14A50B094E1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688-44F8-837B-14A50B094E1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688-44F8-837B-14A50B094E1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688-44F8-837B-14A50B094E18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688-44F8-837B-14A50B094E1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688-44F8-837B-14A50B094E1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688-44F8-837B-14A50B094E1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688-44F8-837B-14A50B094E1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688-44F8-837B-14A50B094E1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A688-44F8-837B-14A50B094E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Charts!$D$5:$D$9</c:f>
              <c:strCache>
                <c:ptCount val="5"/>
                <c:pt idx="0">
                  <c:v>Studying</c:v>
                </c:pt>
                <c:pt idx="1">
                  <c:v>Resting</c:v>
                </c:pt>
                <c:pt idx="2">
                  <c:v>Using computer</c:v>
                </c:pt>
                <c:pt idx="3">
                  <c:v>Group meeting</c:v>
                </c:pt>
                <c:pt idx="4">
                  <c:v>Research</c:v>
                </c:pt>
              </c:strCache>
            </c:strRef>
          </c:cat>
          <c:val>
            <c:numRef>
              <c:f>Charts!$E$5:$E$9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11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88-44F8-837B-14A50B094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sz="1800" b="1" strike="noStrike" spc="-1">
                <a:solidFill>
                  <a:srgbClr val="000000"/>
                </a:solidFill>
                <a:latin typeface="Arial"/>
                <a:ea typeface="Arial"/>
              </a:rPr>
              <a:t>Respondents by Year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Charts!H4</c:f>
              <c:strCache>
                <c:ptCount val="1"/>
                <c:pt idx="0">
                  <c:v>Respondents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Charts!$G$5:$G$8</c:f>
              <c:strCache>
                <c:ptCount val="4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</c:strCache>
            </c:strRef>
          </c:cat>
          <c:val>
            <c:numRef>
              <c:f>Charts!$H$5:$H$8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14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A-4264-BE6D-7BBC3BC06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81488"/>
        <c:axId val="60429992"/>
      </c:barChart>
      <c:catAx>
        <c:axId val="27281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Year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60429992"/>
        <c:crosses val="autoZero"/>
        <c:auto val="1"/>
        <c:lblAlgn val="ctr"/>
        <c:lblOffset val="100"/>
        <c:noMultiLvlLbl val="0"/>
      </c:catAx>
      <c:valAx>
        <c:axId val="604299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Number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272814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sz="1800" b="1" strike="noStrike" spc="-1">
                <a:solidFill>
                  <a:srgbClr val="000000"/>
                </a:solidFill>
                <a:latin typeface="Arial"/>
                <a:ea typeface="Arial"/>
              </a:rPr>
              <a:t>Average Minutes by Year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Charts!I4</c:f>
              <c:strCache>
                <c:ptCount val="1"/>
                <c:pt idx="0">
                  <c:v>Avg minutes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Charts!$G$5:$G$8</c:f>
              <c:strCache>
                <c:ptCount val="4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</c:strCache>
            </c:strRef>
          </c:cat>
          <c:val>
            <c:numRef>
              <c:f>Charts!$I$5:$I$8</c:f>
              <c:numCache>
                <c:formatCode>0.0</c:formatCode>
                <c:ptCount val="4"/>
                <c:pt idx="0">
                  <c:v>78.8</c:v>
                </c:pt>
                <c:pt idx="1">
                  <c:v>67.3</c:v>
                </c:pt>
                <c:pt idx="2">
                  <c:v>108.21428571428601</c:v>
                </c:pt>
                <c:pt idx="3">
                  <c:v>105.625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7-43E3-8182-610D6493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32018"/>
        <c:axId val="62395873"/>
      </c:barChart>
      <c:catAx>
        <c:axId val="964320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Year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62395873"/>
        <c:crosses val="autoZero"/>
        <c:auto val="1"/>
        <c:lblAlgn val="ctr"/>
        <c:lblOffset val="100"/>
        <c:noMultiLvlLbl val="0"/>
      </c:catAx>
      <c:valAx>
        <c:axId val="62395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Average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964320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r>
              <a:rPr sz="1800" b="1" strike="noStrike" spc="-1">
                <a:solidFill>
                  <a:srgbClr val="000000"/>
                </a:solidFill>
                <a:latin typeface="Arial"/>
                <a:ea typeface="Arial"/>
              </a:rPr>
              <a:t>Average Minutes by Primary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Charts!L4</c:f>
              <c:strCache>
                <c:ptCount val="1"/>
                <c:pt idx="0">
                  <c:v>Avg minutes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Charts!$K$5:$K$9</c:f>
              <c:strCache>
                <c:ptCount val="5"/>
                <c:pt idx="0">
                  <c:v>Studying</c:v>
                </c:pt>
                <c:pt idx="1">
                  <c:v>Resting</c:v>
                </c:pt>
                <c:pt idx="2">
                  <c:v>Using computer</c:v>
                </c:pt>
                <c:pt idx="3">
                  <c:v>Group meeting</c:v>
                </c:pt>
                <c:pt idx="4">
                  <c:v>Research</c:v>
                </c:pt>
              </c:strCache>
            </c:strRef>
          </c:cat>
          <c:val>
            <c:numRef>
              <c:f>Charts!$L$5:$L$9</c:f>
              <c:numCache>
                <c:formatCode>0.0</c:formatCode>
                <c:ptCount val="5"/>
                <c:pt idx="0">
                  <c:v>63.928571428571402</c:v>
                </c:pt>
                <c:pt idx="1">
                  <c:v>110.28571428571399</c:v>
                </c:pt>
                <c:pt idx="2">
                  <c:v>115.90909090909101</c:v>
                </c:pt>
                <c:pt idx="3">
                  <c:v>40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1-4766-862E-D67B73D65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19383"/>
        <c:axId val="57671704"/>
      </c:barChart>
      <c:catAx>
        <c:axId val="30719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Primary reason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57671704"/>
        <c:crosses val="autoZero"/>
        <c:auto val="1"/>
        <c:lblAlgn val="ctr"/>
        <c:lblOffset val="100"/>
        <c:noMultiLvlLbl val="0"/>
      </c:catAx>
      <c:valAx>
        <c:axId val="576717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rial"/>
                    <a:ea typeface="Arial"/>
                  </a:rPr>
                  <a:t>Average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US"/>
          </a:p>
        </c:txPr>
        <c:crossAx val="307193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160920</xdr:rowOff>
    </xdr:from>
    <xdr:to>
      <xdr:col>7</xdr:col>
      <xdr:colOff>797265</xdr:colOff>
      <xdr:row>29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160920</xdr:rowOff>
    </xdr:from>
    <xdr:to>
      <xdr:col>15</xdr:col>
      <xdr:colOff>299880</xdr:colOff>
      <xdr:row>29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32</xdr:row>
      <xdr:rowOff>160920</xdr:rowOff>
    </xdr:from>
    <xdr:to>
      <xdr:col>7</xdr:col>
      <xdr:colOff>797265</xdr:colOff>
      <xdr:row>47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32</xdr:row>
      <xdr:rowOff>160920</xdr:rowOff>
    </xdr:from>
    <xdr:to>
      <xdr:col>17</xdr:col>
      <xdr:colOff>516960</xdr:colOff>
      <xdr:row>47</xdr:row>
      <xdr:rowOff>182880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50</xdr:row>
      <xdr:rowOff>160920</xdr:rowOff>
    </xdr:from>
    <xdr:to>
      <xdr:col>7</xdr:col>
      <xdr:colOff>797265</xdr:colOff>
      <xdr:row>65</xdr:row>
      <xdr:rowOff>182880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E51" totalsRowShown="0">
  <tableColumns count="5">
    <tableColumn id="1" xr3:uid="{00000000-0010-0000-0000-000001000000}" name="Timestamp"/>
    <tableColumn id="2" xr3:uid="{00000000-0010-0000-0000-000002000000}" name="Email Address"/>
    <tableColumn id="3" xr3:uid="{00000000-0010-0000-0000-000003000000}" name="  What is your current Grade/Year level?  "/>
    <tableColumn id="4" xr3:uid="{00000000-0010-0000-0000-000004000000}" name="On an average visit, exactly how many minutes do you usually spend inside the school library?_x000a_(Please give your best estimate as a single number, not a range. For example: 45, not 30-60).  "/>
    <tableColumn id="5" xr3:uid="{00000000-0010-0000-0000-000005000000}" name="What is your primary reason for visiting the library? (Check one) 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D51" headerRowCount="0" totalsRowShown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F2:G4" headerRowCount="0" totalsRowShown="0">
  <tableColumns count="2">
    <tableColumn id="1" xr3:uid="{00000000-0010-0000-0200-000001000000}" name="Column1"/>
    <tableColumn id="2" xr3:uid="{00000000-0010-0000-0200-000002000000}" name="Column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I2:J6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F7:G12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ColWidth="12.5703125" defaultRowHeight="15.75"/>
  <cols>
    <col min="1" max="2" width="18.85546875" customWidth="1"/>
    <col min="3" max="3" width="34.5703125" customWidth="1"/>
    <col min="4" max="5" width="37.5703125" customWidth="1"/>
    <col min="6" max="11" width="18" customWidth="1"/>
  </cols>
  <sheetData>
    <row r="1" spans="1:6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22.5" customHeight="1">
      <c r="A2" s="3">
        <v>46301.788549143501</v>
      </c>
      <c r="B2" s="4" t="s">
        <v>6</v>
      </c>
      <c r="C2" s="4" t="s">
        <v>7</v>
      </c>
      <c r="D2" s="4">
        <v>45</v>
      </c>
      <c r="E2" s="4" t="s">
        <v>8</v>
      </c>
      <c r="F2">
        <f>D2</f>
        <v>45</v>
      </c>
    </row>
    <row r="3" spans="1:6" ht="22.5" customHeight="1">
      <c r="A3" s="3">
        <v>46301.794094085701</v>
      </c>
      <c r="B3" s="4" t="s">
        <v>9</v>
      </c>
      <c r="C3" s="4" t="s">
        <v>10</v>
      </c>
      <c r="D3" s="4">
        <v>13</v>
      </c>
      <c r="E3" s="4" t="s">
        <v>11</v>
      </c>
      <c r="F3">
        <f>D3</f>
        <v>13</v>
      </c>
    </row>
    <row r="4" spans="1:6" ht="22.5" customHeight="1">
      <c r="A4" s="3">
        <v>46302.026133067098</v>
      </c>
      <c r="B4" s="4" t="s">
        <v>12</v>
      </c>
      <c r="C4" s="4" t="s">
        <v>13</v>
      </c>
      <c r="D4" s="4">
        <v>60</v>
      </c>
      <c r="E4" s="4" t="s">
        <v>14</v>
      </c>
      <c r="F4">
        <f>D4</f>
        <v>60</v>
      </c>
    </row>
    <row r="5" spans="1:6" ht="22.5" customHeight="1">
      <c r="A5" s="3">
        <v>46302.628016030103</v>
      </c>
      <c r="B5" s="4" t="s">
        <v>15</v>
      </c>
      <c r="C5" s="4" t="s">
        <v>16</v>
      </c>
      <c r="D5" s="4">
        <v>1</v>
      </c>
      <c r="E5" s="4" t="s">
        <v>11</v>
      </c>
      <c r="F5">
        <f>D5</f>
        <v>1</v>
      </c>
    </row>
    <row r="6" spans="1:6" ht="22.5" customHeight="1">
      <c r="A6" s="3">
        <v>46302.796390578696</v>
      </c>
      <c r="B6" s="4" t="s">
        <v>17</v>
      </c>
      <c r="C6" s="4" t="s">
        <v>18</v>
      </c>
      <c r="D6" s="4">
        <v>60</v>
      </c>
      <c r="E6" s="4" t="s">
        <v>8</v>
      </c>
      <c r="F6">
        <f>D6</f>
        <v>60</v>
      </c>
    </row>
    <row r="7" spans="1:6" ht="22.5" customHeight="1">
      <c r="A7" s="3">
        <v>46302.860955752301</v>
      </c>
      <c r="B7" s="4" t="s">
        <v>19</v>
      </c>
      <c r="C7" s="4" t="s">
        <v>13</v>
      </c>
      <c r="D7" s="4" t="s">
        <v>20</v>
      </c>
      <c r="E7" s="4" t="s">
        <v>21</v>
      </c>
      <c r="F7" s="5">
        <v>120</v>
      </c>
    </row>
    <row r="8" spans="1:6" ht="22.5" customHeight="1">
      <c r="A8" s="3">
        <v>46302.862701493097</v>
      </c>
      <c r="B8" s="4" t="s">
        <v>22</v>
      </c>
      <c r="C8" s="4" t="s">
        <v>23</v>
      </c>
      <c r="D8" s="4" t="s">
        <v>24</v>
      </c>
      <c r="E8" s="4" t="s">
        <v>14</v>
      </c>
      <c r="F8" s="5">
        <v>150</v>
      </c>
    </row>
    <row r="9" spans="1:6" ht="22.5" customHeight="1">
      <c r="A9" s="3">
        <v>46302.862922187502</v>
      </c>
      <c r="B9" s="4" t="s">
        <v>25</v>
      </c>
      <c r="C9" s="4" t="s">
        <v>18</v>
      </c>
      <c r="D9" s="4">
        <v>30</v>
      </c>
      <c r="E9" s="4" t="s">
        <v>26</v>
      </c>
      <c r="F9">
        <f>D9</f>
        <v>30</v>
      </c>
    </row>
    <row r="10" spans="1:6" ht="22.5" customHeight="1">
      <c r="A10" s="3">
        <v>46302.865158553199</v>
      </c>
      <c r="B10" s="4" t="s">
        <v>27</v>
      </c>
      <c r="C10" s="4" t="s">
        <v>28</v>
      </c>
      <c r="D10" s="4" t="s">
        <v>29</v>
      </c>
      <c r="E10" s="4" t="s">
        <v>30</v>
      </c>
      <c r="F10" s="5">
        <v>30</v>
      </c>
    </row>
    <row r="11" spans="1:6" ht="22.5" customHeight="1">
      <c r="A11" s="3">
        <v>46302.866917951404</v>
      </c>
      <c r="B11" s="4" t="s">
        <v>31</v>
      </c>
      <c r="C11" s="4" t="s">
        <v>18</v>
      </c>
      <c r="D11" s="4">
        <v>300</v>
      </c>
      <c r="E11" s="4" t="s">
        <v>32</v>
      </c>
      <c r="F11">
        <f>D11</f>
        <v>300</v>
      </c>
    </row>
    <row r="12" spans="1:6" ht="22.5" customHeight="1">
      <c r="A12" s="3">
        <v>46302.944100659697</v>
      </c>
      <c r="B12" s="4" t="s">
        <v>33</v>
      </c>
      <c r="C12" s="4" t="s">
        <v>34</v>
      </c>
      <c r="D12" s="4">
        <v>60</v>
      </c>
      <c r="E12" s="4" t="s">
        <v>35</v>
      </c>
      <c r="F12">
        <f>D12</f>
        <v>60</v>
      </c>
    </row>
    <row r="13" spans="1:6" ht="22.5" customHeight="1">
      <c r="A13" s="3">
        <v>46302.944408506897</v>
      </c>
      <c r="B13" s="4" t="s">
        <v>36</v>
      </c>
      <c r="C13" s="4" t="s">
        <v>37</v>
      </c>
      <c r="D13" s="4" t="s">
        <v>38</v>
      </c>
      <c r="E13" s="4" t="s">
        <v>39</v>
      </c>
      <c r="F13" s="5">
        <v>150</v>
      </c>
    </row>
    <row r="14" spans="1:6" ht="22.5" customHeight="1">
      <c r="A14" s="3">
        <v>46302.950622835699</v>
      </c>
      <c r="B14" s="4" t="s">
        <v>40</v>
      </c>
      <c r="C14" s="4" t="s">
        <v>41</v>
      </c>
      <c r="D14" s="4" t="s">
        <v>42</v>
      </c>
      <c r="E14" s="4" t="s">
        <v>43</v>
      </c>
      <c r="F14" s="5">
        <v>5</v>
      </c>
    </row>
    <row r="15" spans="1:6" ht="22.5" customHeight="1">
      <c r="A15" s="3">
        <v>46302.984480949097</v>
      </c>
      <c r="B15" s="4" t="s">
        <v>44</v>
      </c>
      <c r="C15" s="4" t="s">
        <v>45</v>
      </c>
      <c r="D15" s="4">
        <v>20</v>
      </c>
      <c r="E15" s="4" t="s">
        <v>11</v>
      </c>
      <c r="F15">
        <f>D15</f>
        <v>20</v>
      </c>
    </row>
    <row r="16" spans="1:6" ht="22.5" customHeight="1">
      <c r="A16" s="3">
        <v>46303.033878576403</v>
      </c>
      <c r="B16" s="4" t="s">
        <v>46</v>
      </c>
      <c r="C16" s="4" t="s">
        <v>10</v>
      </c>
      <c r="D16" s="4" t="s">
        <v>47</v>
      </c>
      <c r="E16" s="4" t="s">
        <v>8</v>
      </c>
      <c r="F16" s="5">
        <v>30</v>
      </c>
    </row>
    <row r="17" spans="1:6" ht="22.5" customHeight="1">
      <c r="A17" s="3">
        <v>46303.435394467597</v>
      </c>
      <c r="B17" s="4" t="s">
        <v>48</v>
      </c>
      <c r="C17" s="4" t="s">
        <v>49</v>
      </c>
      <c r="D17" s="4">
        <v>30</v>
      </c>
      <c r="E17" s="4" t="s">
        <v>50</v>
      </c>
      <c r="F17">
        <f>D17</f>
        <v>30</v>
      </c>
    </row>
    <row r="18" spans="1:6" ht="22.5" customHeight="1">
      <c r="A18" s="3">
        <v>46303.5710828472</v>
      </c>
      <c r="B18" s="4" t="s">
        <v>51</v>
      </c>
      <c r="C18" s="4">
        <v>3</v>
      </c>
      <c r="D18" s="4">
        <v>30</v>
      </c>
      <c r="E18" s="4" t="s">
        <v>11</v>
      </c>
      <c r="F18">
        <f>D18</f>
        <v>30</v>
      </c>
    </row>
    <row r="19" spans="1:6" ht="22.5" customHeight="1">
      <c r="A19" s="3">
        <v>46303.593508981503</v>
      </c>
      <c r="B19" s="4" t="s">
        <v>52</v>
      </c>
      <c r="C19" s="4" t="s">
        <v>37</v>
      </c>
      <c r="D19" s="4" t="s">
        <v>53</v>
      </c>
      <c r="E19" s="4" t="s">
        <v>54</v>
      </c>
      <c r="F19" s="5">
        <v>30</v>
      </c>
    </row>
    <row r="20" spans="1:6" ht="22.5" customHeight="1">
      <c r="A20" s="3">
        <v>46303.594955138899</v>
      </c>
      <c r="B20" s="4" t="s">
        <v>55</v>
      </c>
      <c r="C20" s="4" t="s">
        <v>16</v>
      </c>
      <c r="D20" s="4">
        <v>30</v>
      </c>
      <c r="E20" s="4" t="s">
        <v>11</v>
      </c>
      <c r="F20">
        <f>D20</f>
        <v>30</v>
      </c>
    </row>
    <row r="21" spans="1:6" ht="22.5" customHeight="1">
      <c r="A21" s="3">
        <v>46303.595200740703</v>
      </c>
      <c r="B21" s="4" t="s">
        <v>56</v>
      </c>
      <c r="C21" s="4" t="s">
        <v>34</v>
      </c>
      <c r="D21" s="4">
        <v>30</v>
      </c>
      <c r="E21" s="4" t="s">
        <v>30</v>
      </c>
      <c r="F21">
        <f>D21</f>
        <v>30</v>
      </c>
    </row>
    <row r="22" spans="1:6" ht="22.5" customHeight="1">
      <c r="A22" s="3">
        <v>46303.6411030093</v>
      </c>
      <c r="B22" s="4" t="s">
        <v>57</v>
      </c>
      <c r="C22" s="4" t="s">
        <v>10</v>
      </c>
      <c r="D22" s="4" t="s">
        <v>58</v>
      </c>
      <c r="E22" s="4" t="s">
        <v>39</v>
      </c>
      <c r="F22" s="5">
        <v>30</v>
      </c>
    </row>
    <row r="23" spans="1:6" ht="22.5" customHeight="1">
      <c r="A23" s="3">
        <v>46303.655018576399</v>
      </c>
      <c r="B23" s="4" t="s">
        <v>59</v>
      </c>
      <c r="C23" s="4" t="s">
        <v>10</v>
      </c>
      <c r="D23" s="4">
        <v>60</v>
      </c>
      <c r="E23" s="4" t="s">
        <v>35</v>
      </c>
      <c r="F23">
        <f>D23</f>
        <v>60</v>
      </c>
    </row>
    <row r="24" spans="1:6" ht="22.5" customHeight="1">
      <c r="A24" s="3">
        <v>46303.706601620397</v>
      </c>
      <c r="B24" s="4" t="s">
        <v>60</v>
      </c>
      <c r="C24" s="4">
        <v>3</v>
      </c>
      <c r="D24" s="4">
        <v>30</v>
      </c>
      <c r="E24" s="4" t="s">
        <v>32</v>
      </c>
      <c r="F24">
        <f>D24</f>
        <v>30</v>
      </c>
    </row>
    <row r="25" spans="1:6" ht="22.5" customHeight="1">
      <c r="A25" s="3">
        <v>46303.745469155103</v>
      </c>
      <c r="B25" s="4" t="s">
        <v>61</v>
      </c>
      <c r="C25" s="4" t="s">
        <v>18</v>
      </c>
      <c r="D25" s="4">
        <v>60</v>
      </c>
      <c r="E25" s="4" t="s">
        <v>62</v>
      </c>
      <c r="F25">
        <f>D25</f>
        <v>60</v>
      </c>
    </row>
    <row r="26" spans="1:6" ht="22.5" customHeight="1">
      <c r="A26" s="3">
        <v>46303.751025532401</v>
      </c>
      <c r="B26" s="4" t="s">
        <v>63</v>
      </c>
      <c r="C26" s="4" t="s">
        <v>18</v>
      </c>
      <c r="D26" s="4">
        <v>30</v>
      </c>
      <c r="E26" s="4" t="s">
        <v>50</v>
      </c>
      <c r="F26">
        <f>D26</f>
        <v>30</v>
      </c>
    </row>
    <row r="27" spans="1:6" ht="22.5" customHeight="1">
      <c r="A27" s="3">
        <v>46303.751189768504</v>
      </c>
      <c r="B27" s="4" t="s">
        <v>64</v>
      </c>
      <c r="C27" s="4" t="s">
        <v>7</v>
      </c>
      <c r="D27" s="4">
        <v>40</v>
      </c>
      <c r="E27" s="4" t="s">
        <v>50</v>
      </c>
      <c r="F27">
        <f>D27</f>
        <v>40</v>
      </c>
    </row>
    <row r="28" spans="1:6" ht="22.5" customHeight="1">
      <c r="A28" s="3">
        <v>46303.7571116088</v>
      </c>
      <c r="B28" s="4" t="s">
        <v>65</v>
      </c>
      <c r="C28" s="4">
        <v>2</v>
      </c>
      <c r="D28" s="4">
        <v>10</v>
      </c>
      <c r="E28" s="4" t="s">
        <v>66</v>
      </c>
      <c r="F28">
        <f>D28</f>
        <v>10</v>
      </c>
    </row>
    <row r="29" spans="1:6" ht="22.5" customHeight="1">
      <c r="A29" s="3">
        <v>46303.757310243098</v>
      </c>
      <c r="B29" s="4" t="s">
        <v>67</v>
      </c>
      <c r="C29" s="4" t="s">
        <v>68</v>
      </c>
      <c r="D29" s="4" t="s">
        <v>69</v>
      </c>
      <c r="E29" s="4" t="s">
        <v>39</v>
      </c>
      <c r="F29" s="5">
        <v>60</v>
      </c>
    </row>
    <row r="30" spans="1:6" ht="22.5" customHeight="1">
      <c r="A30" s="3">
        <v>46303.757399571798</v>
      </c>
      <c r="B30" s="4" t="s">
        <v>70</v>
      </c>
      <c r="C30" s="4" t="s">
        <v>71</v>
      </c>
      <c r="D30" s="4" t="s">
        <v>72</v>
      </c>
      <c r="E30" s="4" t="s">
        <v>73</v>
      </c>
      <c r="F30" s="5">
        <v>90</v>
      </c>
    </row>
    <row r="31" spans="1:6" ht="22.5" customHeight="1">
      <c r="A31" s="3">
        <v>46303.757913020803</v>
      </c>
      <c r="B31" s="4" t="s">
        <v>74</v>
      </c>
      <c r="C31" s="4" t="s">
        <v>75</v>
      </c>
      <c r="D31" s="4">
        <v>120</v>
      </c>
      <c r="E31" s="4" t="s">
        <v>26</v>
      </c>
      <c r="F31">
        <f>D31</f>
        <v>120</v>
      </c>
    </row>
    <row r="32" spans="1:6" ht="22.5" customHeight="1">
      <c r="A32" s="3">
        <v>46303.761585995402</v>
      </c>
      <c r="B32" s="4" t="s">
        <v>76</v>
      </c>
      <c r="C32" s="4" t="s">
        <v>77</v>
      </c>
      <c r="D32" s="4" t="s">
        <v>78</v>
      </c>
      <c r="E32" s="4" t="s">
        <v>43</v>
      </c>
      <c r="F32" s="5">
        <v>60</v>
      </c>
    </row>
    <row r="33" spans="1:6" ht="22.5" customHeight="1">
      <c r="A33" s="3">
        <v>46303.7818465046</v>
      </c>
      <c r="B33" s="4" t="s">
        <v>79</v>
      </c>
      <c r="C33" s="4" t="s">
        <v>18</v>
      </c>
      <c r="D33" s="4">
        <v>240</v>
      </c>
      <c r="E33" s="4" t="s">
        <v>43</v>
      </c>
      <c r="F33">
        <f>D33</f>
        <v>240</v>
      </c>
    </row>
    <row r="34" spans="1:6" ht="22.5" customHeight="1">
      <c r="A34" s="3">
        <v>46303.7919683449</v>
      </c>
      <c r="B34" s="4" t="s">
        <v>80</v>
      </c>
      <c r="C34" s="4" t="s">
        <v>18</v>
      </c>
      <c r="D34" s="4">
        <v>180</v>
      </c>
      <c r="E34" s="4" t="s">
        <v>11</v>
      </c>
      <c r="F34">
        <f>D34</f>
        <v>180</v>
      </c>
    </row>
    <row r="35" spans="1:6" ht="22.5" customHeight="1">
      <c r="A35" s="3">
        <v>46303.799582233798</v>
      </c>
      <c r="B35" s="4" t="s">
        <v>81</v>
      </c>
      <c r="C35" s="4" t="s">
        <v>18</v>
      </c>
      <c r="D35" s="4">
        <v>180</v>
      </c>
      <c r="E35" s="4" t="s">
        <v>43</v>
      </c>
      <c r="F35">
        <f>D35</f>
        <v>180</v>
      </c>
    </row>
    <row r="36" spans="1:6" ht="22.5" customHeight="1">
      <c r="A36" s="3">
        <v>46303.800302673597</v>
      </c>
      <c r="B36" s="4" t="s">
        <v>82</v>
      </c>
      <c r="C36" s="4" t="s">
        <v>83</v>
      </c>
      <c r="D36" s="4">
        <v>160</v>
      </c>
      <c r="E36" s="4" t="s">
        <v>11</v>
      </c>
      <c r="F36">
        <f>D36</f>
        <v>160</v>
      </c>
    </row>
    <row r="37" spans="1:6" ht="22.5" customHeight="1">
      <c r="A37" s="3">
        <v>46303.800685509297</v>
      </c>
      <c r="B37" s="4" t="s">
        <v>84</v>
      </c>
      <c r="C37" s="4" t="s">
        <v>37</v>
      </c>
      <c r="D37" s="4">
        <v>130</v>
      </c>
      <c r="E37" s="4" t="s">
        <v>11</v>
      </c>
      <c r="F37">
        <f>D37</f>
        <v>130</v>
      </c>
    </row>
    <row r="38" spans="1:6" ht="22.5" customHeight="1">
      <c r="A38" s="3">
        <v>46303.800944583301</v>
      </c>
      <c r="B38" s="4" t="s">
        <v>85</v>
      </c>
      <c r="C38" s="4" t="s">
        <v>18</v>
      </c>
      <c r="D38" s="4">
        <v>50</v>
      </c>
      <c r="E38" s="4" t="s">
        <v>32</v>
      </c>
      <c r="F38">
        <f>D38</f>
        <v>50</v>
      </c>
    </row>
    <row r="39" spans="1:6" ht="22.5" customHeight="1">
      <c r="A39" s="3">
        <v>46303.8010743634</v>
      </c>
      <c r="B39" s="4" t="s">
        <v>86</v>
      </c>
      <c r="C39" s="4" t="s">
        <v>18</v>
      </c>
      <c r="D39" s="4">
        <v>150</v>
      </c>
      <c r="E39" s="4" t="s">
        <v>54</v>
      </c>
      <c r="F39">
        <f>D39</f>
        <v>150</v>
      </c>
    </row>
    <row r="40" spans="1:6" ht="22.5" customHeight="1">
      <c r="A40" s="3">
        <v>46303.801337615703</v>
      </c>
      <c r="B40" s="4" t="s">
        <v>87</v>
      </c>
      <c r="C40" s="4" t="s">
        <v>83</v>
      </c>
      <c r="D40" s="4">
        <v>80</v>
      </c>
      <c r="E40" s="4" t="s">
        <v>88</v>
      </c>
      <c r="F40">
        <f>D40</f>
        <v>80</v>
      </c>
    </row>
    <row r="41" spans="1:6" ht="22.5" customHeight="1">
      <c r="A41" s="3">
        <v>46303.8047918866</v>
      </c>
      <c r="B41" s="4" t="s">
        <v>89</v>
      </c>
      <c r="C41" s="4" t="s">
        <v>90</v>
      </c>
      <c r="D41" s="4">
        <v>150</v>
      </c>
      <c r="E41" s="4" t="s">
        <v>43</v>
      </c>
      <c r="F41">
        <f>D41</f>
        <v>150</v>
      </c>
    </row>
    <row r="42" spans="1:6" ht="22.5" customHeight="1">
      <c r="A42" s="3">
        <v>46303.807326331</v>
      </c>
      <c r="B42" s="4" t="s">
        <v>91</v>
      </c>
      <c r="C42" s="4" t="s">
        <v>90</v>
      </c>
      <c r="D42" s="4">
        <v>80</v>
      </c>
      <c r="E42" s="4" t="s">
        <v>88</v>
      </c>
      <c r="F42">
        <f>D42</f>
        <v>80</v>
      </c>
    </row>
    <row r="43" spans="1:6" ht="22.5" customHeight="1">
      <c r="A43" s="3">
        <v>46303.807786435202</v>
      </c>
      <c r="B43" s="4" t="s">
        <v>92</v>
      </c>
      <c r="C43" s="4" t="s">
        <v>7</v>
      </c>
      <c r="D43" s="4">
        <v>168</v>
      </c>
      <c r="E43" s="4" t="s">
        <v>11</v>
      </c>
      <c r="F43">
        <f>D43</f>
        <v>168</v>
      </c>
    </row>
    <row r="44" spans="1:6" ht="22.5" customHeight="1">
      <c r="A44" s="3">
        <v>46303.808080335701</v>
      </c>
      <c r="B44" s="4" t="s">
        <v>93</v>
      </c>
      <c r="C44" s="4" t="s">
        <v>83</v>
      </c>
      <c r="D44" s="4">
        <v>160</v>
      </c>
      <c r="E44" s="4" t="s">
        <v>39</v>
      </c>
      <c r="F44">
        <f>D44</f>
        <v>160</v>
      </c>
    </row>
    <row r="45" spans="1:6" ht="22.5" customHeight="1">
      <c r="A45" s="3">
        <v>46303.808529733797</v>
      </c>
      <c r="B45" s="4" t="s">
        <v>94</v>
      </c>
      <c r="C45" s="4" t="s">
        <v>90</v>
      </c>
      <c r="D45" s="4">
        <v>245</v>
      </c>
      <c r="E45" s="4" t="s">
        <v>11</v>
      </c>
      <c r="F45">
        <f>D45</f>
        <v>245</v>
      </c>
    </row>
    <row r="46" spans="1:6" ht="22.5" customHeight="1">
      <c r="A46" s="3">
        <v>46303.809045358801</v>
      </c>
      <c r="B46" s="4" t="s">
        <v>95</v>
      </c>
      <c r="C46" s="4" t="s">
        <v>90</v>
      </c>
      <c r="D46" s="4">
        <v>130</v>
      </c>
      <c r="E46" s="4" t="s">
        <v>43</v>
      </c>
      <c r="F46">
        <f>D46</f>
        <v>130</v>
      </c>
    </row>
    <row r="47" spans="1:6" ht="22.5" customHeight="1">
      <c r="A47" s="3">
        <v>46303.809876319399</v>
      </c>
      <c r="B47" s="4" t="s">
        <v>96</v>
      </c>
      <c r="C47" s="4" t="s">
        <v>16</v>
      </c>
      <c r="D47" s="4">
        <v>100</v>
      </c>
      <c r="E47" s="4" t="s">
        <v>43</v>
      </c>
      <c r="F47">
        <f>D47</f>
        <v>100</v>
      </c>
    </row>
    <row r="48" spans="1:6" ht="22.5" customHeight="1">
      <c r="A48" s="3">
        <v>46303.810677314803</v>
      </c>
      <c r="B48" s="4" t="s">
        <v>97</v>
      </c>
      <c r="C48" s="4" t="s">
        <v>98</v>
      </c>
      <c r="D48" s="4">
        <v>30</v>
      </c>
      <c r="E48" s="4" t="s">
        <v>39</v>
      </c>
      <c r="F48">
        <f>D48</f>
        <v>30</v>
      </c>
    </row>
    <row r="49" spans="1:6" ht="22.5" customHeight="1">
      <c r="A49" s="3">
        <v>46303.810800509302</v>
      </c>
      <c r="B49" s="4" t="s">
        <v>99</v>
      </c>
      <c r="C49" s="4" t="s">
        <v>100</v>
      </c>
      <c r="D49" s="4">
        <v>250</v>
      </c>
      <c r="E49" s="4" t="s">
        <v>11</v>
      </c>
      <c r="F49">
        <f>D49</f>
        <v>250</v>
      </c>
    </row>
    <row r="50" spans="1:6" ht="22.5" customHeight="1">
      <c r="A50" s="3">
        <v>46303.811444999999</v>
      </c>
      <c r="B50" s="4" t="s">
        <v>101</v>
      </c>
      <c r="C50" s="4" t="s">
        <v>90</v>
      </c>
      <c r="D50" s="4">
        <v>30</v>
      </c>
      <c r="E50" s="4" t="s">
        <v>43</v>
      </c>
      <c r="F50">
        <f>D50</f>
        <v>30</v>
      </c>
    </row>
    <row r="51" spans="1:6" ht="22.5" customHeight="1">
      <c r="A51" s="3">
        <v>46303.816806435199</v>
      </c>
      <c r="B51" s="4" t="s">
        <v>102</v>
      </c>
      <c r="C51" s="4" t="s">
        <v>7</v>
      </c>
      <c r="D51" s="4">
        <v>170</v>
      </c>
      <c r="E51" s="4" t="s">
        <v>43</v>
      </c>
      <c r="F51">
        <f>D51</f>
        <v>170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zoomScaleNormal="100" workbookViewId="0"/>
  </sheetViews>
  <sheetFormatPr defaultColWidth="12.5703125" defaultRowHeight="15.75"/>
  <cols>
    <col min="2" max="2" width="18.42578125" customWidth="1"/>
    <col min="3" max="3" width="13.7109375" customWidth="1"/>
    <col min="4" max="4" width="14.7109375" customWidth="1"/>
    <col min="6" max="6" width="19.85546875" customWidth="1"/>
    <col min="7" max="7" width="5.5703125" customWidth="1"/>
    <col min="8" max="8" width="9.7109375" customWidth="1"/>
    <col min="9" max="9" width="22" customWidth="1"/>
    <col min="10" max="10" width="9.28515625" customWidth="1"/>
  </cols>
  <sheetData>
    <row r="1" spans="1:10" ht="15.75" customHeight="1">
      <c r="A1" s="6" t="s">
        <v>103</v>
      </c>
      <c r="B1" s="6" t="s">
        <v>104</v>
      </c>
      <c r="C1" s="6" t="s">
        <v>105</v>
      </c>
      <c r="D1" s="6" t="s">
        <v>106</v>
      </c>
      <c r="F1" s="6" t="s">
        <v>107</v>
      </c>
      <c r="G1" s="6" t="s">
        <v>108</v>
      </c>
      <c r="I1" s="6" t="s">
        <v>109</v>
      </c>
      <c r="J1" s="6" t="s">
        <v>110</v>
      </c>
    </row>
    <row r="2" spans="1:10" ht="15.75" customHeight="1">
      <c r="A2" s="7">
        <v>1</v>
      </c>
      <c r="B2" s="7">
        <v>60</v>
      </c>
      <c r="C2" s="7" t="s">
        <v>111</v>
      </c>
      <c r="D2" s="7" t="s">
        <v>83</v>
      </c>
      <c r="F2" s="7" t="s">
        <v>112</v>
      </c>
      <c r="G2" s="7">
        <f>IFERROR(AVERAGE(B2:B51), "")</f>
        <v>93.32</v>
      </c>
      <c r="I2" s="7">
        <v>15</v>
      </c>
      <c r="J2" s="7">
        <f>COUNTIFS($B$2:$B$51,"&lt;="&amp;I2)</f>
        <v>1</v>
      </c>
    </row>
    <row r="3" spans="1:10" ht="15.75" customHeight="1">
      <c r="A3" s="7">
        <v>2</v>
      </c>
      <c r="B3" s="7">
        <v>60</v>
      </c>
      <c r="C3" s="7" t="s">
        <v>113</v>
      </c>
      <c r="D3" s="7" t="s">
        <v>83</v>
      </c>
      <c r="F3" s="7" t="s">
        <v>114</v>
      </c>
      <c r="G3" s="7">
        <f>IFERROR(_xlfn.STDEV.S(B2:B51), "")</f>
        <v>72.274544591566695</v>
      </c>
      <c r="I3" s="7">
        <v>30</v>
      </c>
      <c r="J3" s="7">
        <f>COUNTIFS($B$2:$B$51,"&gt;"&amp;I2,$B$2:$B$51,"&lt;="&amp;I3)</f>
        <v>14</v>
      </c>
    </row>
    <row r="4" spans="1:10" ht="15.75" customHeight="1">
      <c r="A4" s="7">
        <v>3</v>
      </c>
      <c r="B4" s="7">
        <v>60</v>
      </c>
      <c r="C4" s="7" t="s">
        <v>113</v>
      </c>
      <c r="D4" s="7" t="s">
        <v>83</v>
      </c>
      <c r="F4" s="7" t="s">
        <v>115</v>
      </c>
      <c r="G4" s="7">
        <f>COUNT(B2:B51)</f>
        <v>50</v>
      </c>
      <c r="I4" s="7">
        <v>45</v>
      </c>
      <c r="J4" s="7">
        <f>COUNTIFS($B$2:$B$51,"&gt;"&amp;I3,$B$2:$B$51,"&lt;="&amp;I4)</f>
        <v>3</v>
      </c>
    </row>
    <row r="5" spans="1:10" ht="15.75" customHeight="1">
      <c r="A5" s="7">
        <v>4</v>
      </c>
      <c r="B5" s="7">
        <v>30</v>
      </c>
      <c r="C5" s="7" t="s">
        <v>111</v>
      </c>
      <c r="D5" s="7" t="s">
        <v>83</v>
      </c>
      <c r="I5" s="7">
        <v>60</v>
      </c>
      <c r="J5" s="7">
        <f>COUNTIFS($B$2:$B$51,"&gt;"&amp;I4,$B$2:$B$51,"&lt;="&amp;I5)</f>
        <v>11</v>
      </c>
    </row>
    <row r="6" spans="1:10" ht="15.75" customHeight="1">
      <c r="A6" s="7">
        <v>5</v>
      </c>
      <c r="B6" s="7">
        <v>30</v>
      </c>
      <c r="C6" s="7" t="s">
        <v>111</v>
      </c>
      <c r="D6" s="7" t="s">
        <v>83</v>
      </c>
      <c r="F6" s="6" t="s">
        <v>116</v>
      </c>
      <c r="G6" s="6"/>
      <c r="I6" s="7">
        <v>120</v>
      </c>
      <c r="J6" s="7">
        <f>COUNTIFS($B$2:$B$51,"&gt;"&amp;I5,$B$2:$B$51,"&lt;="&amp;I6)</f>
        <v>5</v>
      </c>
    </row>
    <row r="7" spans="1:10" ht="15.75" customHeight="1">
      <c r="A7" s="7">
        <v>6</v>
      </c>
      <c r="B7" s="7">
        <v>60</v>
      </c>
      <c r="C7" s="7" t="s">
        <v>111</v>
      </c>
      <c r="D7" s="7" t="s">
        <v>83</v>
      </c>
      <c r="F7" s="7" t="s">
        <v>117</v>
      </c>
      <c r="G7" s="7">
        <f>IF(G4&gt;1, G2+G3, "")</f>
        <v>165.594544591567</v>
      </c>
      <c r="I7" s="7">
        <v>180</v>
      </c>
      <c r="J7">
        <f>COUNTIFS($B$2:$B$51,"&gt;"&amp;I6,$B$2:$B$51,"&lt;="&amp;I7)</f>
        <v>12</v>
      </c>
    </row>
    <row r="8" spans="1:10" ht="15.75" customHeight="1">
      <c r="A8" s="7">
        <v>7</v>
      </c>
      <c r="B8" s="7">
        <v>150</v>
      </c>
      <c r="C8" s="7" t="s">
        <v>113</v>
      </c>
      <c r="D8" s="7" t="s">
        <v>90</v>
      </c>
      <c r="F8" s="7" t="s">
        <v>118</v>
      </c>
      <c r="G8" s="7">
        <f>IF(G4&gt;1, G2-G3, "")</f>
        <v>21.045455408433298</v>
      </c>
      <c r="I8" s="7">
        <v>240</v>
      </c>
      <c r="J8">
        <f>COUNTIFS($B$2:$B$51,"&gt;"&amp;I7,$B$2:$B$51,"&lt;="&amp;I8)</f>
        <v>1</v>
      </c>
    </row>
    <row r="9" spans="1:10" ht="15.75" customHeight="1">
      <c r="A9" s="7">
        <v>8</v>
      </c>
      <c r="B9" s="7">
        <v>300</v>
      </c>
      <c r="C9" s="7" t="s">
        <v>113</v>
      </c>
      <c r="D9" s="7" t="s">
        <v>90</v>
      </c>
      <c r="F9" s="7" t="s">
        <v>119</v>
      </c>
      <c r="G9" s="7">
        <f>IF(G4&gt;1, G2+(2*G3), "")</f>
        <v>237.86908918313301</v>
      </c>
      <c r="I9" s="7">
        <v>300</v>
      </c>
      <c r="J9">
        <f>COUNTIFS($B$2:$B$51,"&gt;"&amp;I8,$B$2:$B$51,"&lt;="&amp;I9)</f>
        <v>3</v>
      </c>
    </row>
    <row r="10" spans="1:10" ht="15.75" customHeight="1">
      <c r="A10" s="7">
        <v>9</v>
      </c>
      <c r="B10" s="7">
        <v>50</v>
      </c>
      <c r="C10" s="7" t="s">
        <v>120</v>
      </c>
      <c r="D10" s="7" t="s">
        <v>90</v>
      </c>
      <c r="F10" s="7" t="s">
        <v>121</v>
      </c>
      <c r="G10" s="7">
        <f>IF(G4&gt;1, G2-(2*G3), "")</f>
        <v>-51.229089183133503</v>
      </c>
      <c r="I10" s="8" t="s">
        <v>122</v>
      </c>
      <c r="J10" s="9">
        <f>SUM(J2:J9)</f>
        <v>50</v>
      </c>
    </row>
    <row r="11" spans="1:10" ht="15.75" customHeight="1">
      <c r="A11" s="7">
        <v>10</v>
      </c>
      <c r="B11" s="7">
        <v>120</v>
      </c>
      <c r="C11" s="7" t="s">
        <v>120</v>
      </c>
      <c r="D11" s="7" t="s">
        <v>123</v>
      </c>
      <c r="F11" s="7" t="s">
        <v>124</v>
      </c>
      <c r="G11" s="7">
        <f>IF(G4&gt;1, G2+(3*G3), "")</f>
        <v>310.14363377469999</v>
      </c>
    </row>
    <row r="12" spans="1:10" ht="15.75" customHeight="1">
      <c r="A12" s="7">
        <v>11</v>
      </c>
      <c r="B12" s="7">
        <v>45</v>
      </c>
      <c r="C12" s="7" t="s">
        <v>120</v>
      </c>
      <c r="D12" s="7" t="s">
        <v>123</v>
      </c>
      <c r="F12" s="7" t="s">
        <v>125</v>
      </c>
      <c r="G12" s="7">
        <f>IF(G4&gt;1, G2-(3*G3), "")</f>
        <v>-123.50363377470001</v>
      </c>
    </row>
    <row r="13" spans="1:10" ht="15.75" customHeight="1">
      <c r="A13" s="7">
        <v>12</v>
      </c>
      <c r="B13" s="7">
        <v>30</v>
      </c>
      <c r="C13" s="7" t="s">
        <v>113</v>
      </c>
      <c r="D13" s="7" t="s">
        <v>123</v>
      </c>
    </row>
    <row r="14" spans="1:10" ht="15.75" customHeight="1">
      <c r="A14" s="7">
        <v>13</v>
      </c>
      <c r="B14" s="7">
        <v>33</v>
      </c>
      <c r="C14" s="7" t="s">
        <v>113</v>
      </c>
      <c r="D14" s="7" t="s">
        <v>100</v>
      </c>
    </row>
    <row r="15" spans="1:10" ht="15.75" customHeight="1">
      <c r="A15" s="7">
        <v>14</v>
      </c>
      <c r="B15" s="7">
        <v>55</v>
      </c>
      <c r="C15" s="7" t="s">
        <v>126</v>
      </c>
      <c r="D15" s="7" t="s">
        <v>100</v>
      </c>
    </row>
    <row r="16" spans="1:10" ht="15.75" customHeight="1">
      <c r="A16" s="7">
        <v>15</v>
      </c>
      <c r="B16" s="7">
        <v>180</v>
      </c>
      <c r="C16" s="7" t="s">
        <v>113</v>
      </c>
      <c r="D16" s="7" t="s">
        <v>100</v>
      </c>
    </row>
    <row r="17" spans="1:4" ht="15.75" customHeight="1">
      <c r="A17" s="7">
        <v>16</v>
      </c>
      <c r="B17" s="7">
        <v>20</v>
      </c>
      <c r="C17" s="7" t="s">
        <v>126</v>
      </c>
      <c r="D17" s="7" t="s">
        <v>100</v>
      </c>
    </row>
    <row r="18" spans="1:4" ht="15.75" customHeight="1">
      <c r="A18" s="7">
        <v>17</v>
      </c>
      <c r="B18" s="7">
        <v>30</v>
      </c>
      <c r="C18" s="7" t="s">
        <v>113</v>
      </c>
      <c r="D18" s="7" t="s">
        <v>90</v>
      </c>
    </row>
    <row r="19" spans="1:4" ht="15.75" customHeight="1">
      <c r="A19" s="7">
        <v>18</v>
      </c>
      <c r="B19" s="7">
        <v>30</v>
      </c>
      <c r="C19" s="7" t="s">
        <v>113</v>
      </c>
      <c r="D19" s="7" t="s">
        <v>90</v>
      </c>
    </row>
    <row r="20" spans="1:4" ht="15.75" customHeight="1">
      <c r="A20" s="7">
        <v>19</v>
      </c>
      <c r="B20" s="7">
        <v>30</v>
      </c>
      <c r="C20" s="7" t="s">
        <v>127</v>
      </c>
      <c r="D20" s="7" t="s">
        <v>100</v>
      </c>
    </row>
    <row r="21" spans="1:4" ht="15.75" customHeight="1">
      <c r="A21" s="7">
        <v>20</v>
      </c>
      <c r="B21" s="7">
        <v>30</v>
      </c>
      <c r="C21" s="7" t="s">
        <v>113</v>
      </c>
      <c r="D21" s="7" t="s">
        <v>100</v>
      </c>
    </row>
    <row r="22" spans="1:4" ht="15.75" customHeight="1">
      <c r="A22" s="7">
        <v>21</v>
      </c>
      <c r="B22" s="7">
        <v>30</v>
      </c>
      <c r="C22" s="7" t="s">
        <v>126</v>
      </c>
      <c r="D22" s="7" t="s">
        <v>123</v>
      </c>
    </row>
    <row r="23" spans="1:4" ht="15.75" customHeight="1">
      <c r="A23" s="7">
        <v>22</v>
      </c>
      <c r="B23" s="7">
        <v>30</v>
      </c>
      <c r="C23" s="7" t="s">
        <v>113</v>
      </c>
      <c r="D23" s="7" t="s">
        <v>123</v>
      </c>
    </row>
    <row r="24" spans="1:4" ht="15.75" customHeight="1">
      <c r="A24" s="7">
        <v>23</v>
      </c>
      <c r="B24" s="7">
        <v>30</v>
      </c>
      <c r="C24" s="7" t="s">
        <v>126</v>
      </c>
      <c r="D24" s="7" t="s">
        <v>123</v>
      </c>
    </row>
    <row r="25" spans="1:4" ht="15.75" customHeight="1">
      <c r="A25" s="7">
        <v>24</v>
      </c>
      <c r="B25" s="7">
        <v>60</v>
      </c>
      <c r="C25" s="7" t="s">
        <v>113</v>
      </c>
      <c r="D25" s="7" t="s">
        <v>83</v>
      </c>
    </row>
    <row r="26" spans="1:4" ht="15.75" customHeight="1">
      <c r="A26" s="7">
        <v>25</v>
      </c>
      <c r="B26" s="7">
        <v>240</v>
      </c>
      <c r="C26" s="7" t="s">
        <v>120</v>
      </c>
      <c r="D26" s="7" t="s">
        <v>83</v>
      </c>
    </row>
    <row r="27" spans="1:4" ht="15.75" customHeight="1">
      <c r="A27" s="7">
        <v>26</v>
      </c>
      <c r="B27" s="7">
        <v>60</v>
      </c>
      <c r="C27" s="7" t="s">
        <v>120</v>
      </c>
      <c r="D27" s="7" t="s">
        <v>90</v>
      </c>
    </row>
    <row r="28" spans="1:4" ht="15.75" customHeight="1">
      <c r="A28" s="7">
        <v>27</v>
      </c>
      <c r="B28" s="7">
        <v>120</v>
      </c>
      <c r="C28" s="7" t="s">
        <v>126</v>
      </c>
      <c r="D28" s="7" t="s">
        <v>90</v>
      </c>
    </row>
    <row r="29" spans="1:4" ht="15.75" customHeight="1">
      <c r="A29" s="7">
        <v>28</v>
      </c>
      <c r="B29" s="7">
        <v>60</v>
      </c>
      <c r="C29" s="7" t="s">
        <v>126</v>
      </c>
      <c r="D29" s="7" t="s">
        <v>100</v>
      </c>
    </row>
    <row r="30" spans="1:4" ht="15.75" customHeight="1">
      <c r="A30" s="7">
        <v>29</v>
      </c>
      <c r="B30" s="7">
        <v>60</v>
      </c>
      <c r="C30" s="7" t="s">
        <v>126</v>
      </c>
      <c r="D30" s="7" t="s">
        <v>83</v>
      </c>
    </row>
    <row r="31" spans="1:4" ht="15.75" customHeight="1">
      <c r="A31" s="7">
        <v>30</v>
      </c>
      <c r="B31" s="7">
        <v>10</v>
      </c>
      <c r="C31" s="7" t="s">
        <v>127</v>
      </c>
      <c r="D31" s="7" t="s">
        <v>123</v>
      </c>
    </row>
    <row r="32" spans="1:4" ht="15.75" customHeight="1">
      <c r="A32" s="7">
        <v>31</v>
      </c>
      <c r="B32" s="7">
        <v>40</v>
      </c>
      <c r="C32" s="7" t="s">
        <v>113</v>
      </c>
      <c r="D32" s="7" t="s">
        <v>123</v>
      </c>
    </row>
    <row r="33" spans="1:4" ht="15.75" customHeight="1">
      <c r="A33" s="7">
        <v>32</v>
      </c>
      <c r="B33" s="7">
        <v>30</v>
      </c>
      <c r="C33" s="7" t="s">
        <v>113</v>
      </c>
      <c r="D33" s="7" t="s">
        <v>90</v>
      </c>
    </row>
    <row r="34" spans="1:4" ht="15.75" customHeight="1">
      <c r="A34" s="7">
        <v>33</v>
      </c>
      <c r="B34" s="7">
        <v>180</v>
      </c>
      <c r="C34" s="7" t="s">
        <v>113</v>
      </c>
      <c r="D34" s="7" t="s">
        <v>83</v>
      </c>
    </row>
    <row r="35" spans="1:4" ht="15.75" customHeight="1">
      <c r="A35" s="7">
        <v>34</v>
      </c>
      <c r="B35" s="7">
        <v>120</v>
      </c>
      <c r="C35" s="7" t="s">
        <v>113</v>
      </c>
      <c r="D35" s="7" t="s">
        <v>83</v>
      </c>
    </row>
    <row r="36" spans="1:4" ht="15.75" customHeight="1">
      <c r="A36" s="7">
        <v>35</v>
      </c>
      <c r="B36" s="7">
        <v>180</v>
      </c>
      <c r="C36" s="7" t="s">
        <v>120</v>
      </c>
      <c r="D36" s="7" t="s">
        <v>83</v>
      </c>
    </row>
    <row r="37" spans="1:4" ht="15.75" customHeight="1">
      <c r="A37" s="7">
        <v>36</v>
      </c>
      <c r="B37" s="7">
        <v>160</v>
      </c>
      <c r="C37" s="7" t="s">
        <v>113</v>
      </c>
      <c r="D37" s="7" t="s">
        <v>83</v>
      </c>
    </row>
    <row r="38" spans="1:4" ht="15.75" customHeight="1">
      <c r="A38" s="7">
        <v>37</v>
      </c>
      <c r="B38" s="7">
        <v>130</v>
      </c>
      <c r="C38" s="7" t="s">
        <v>113</v>
      </c>
      <c r="D38" s="7" t="s">
        <v>90</v>
      </c>
    </row>
    <row r="39" spans="1:4" ht="15.75" customHeight="1">
      <c r="A39" s="7">
        <v>38</v>
      </c>
      <c r="B39" s="7">
        <v>150</v>
      </c>
      <c r="C39" s="7" t="s">
        <v>126</v>
      </c>
      <c r="D39" s="7" t="s">
        <v>83</v>
      </c>
    </row>
    <row r="40" spans="1:4" ht="15.75" customHeight="1">
      <c r="A40" s="7">
        <v>39</v>
      </c>
      <c r="B40" s="7">
        <v>80</v>
      </c>
      <c r="C40" s="7" t="s">
        <v>127</v>
      </c>
      <c r="D40" s="7" t="s">
        <v>83</v>
      </c>
    </row>
    <row r="41" spans="1:4" ht="15.75" customHeight="1">
      <c r="A41" s="7">
        <v>40</v>
      </c>
      <c r="B41" s="7">
        <v>150</v>
      </c>
      <c r="C41" s="7" t="s">
        <v>120</v>
      </c>
      <c r="D41" s="7" t="s">
        <v>90</v>
      </c>
    </row>
    <row r="42" spans="1:4" ht="15.75" customHeight="1">
      <c r="A42" s="7">
        <v>41</v>
      </c>
      <c r="B42" s="7">
        <v>60</v>
      </c>
      <c r="C42" s="7" t="s">
        <v>128</v>
      </c>
      <c r="D42" s="7" t="s">
        <v>90</v>
      </c>
    </row>
    <row r="43" spans="1:4" ht="15.75" customHeight="1">
      <c r="A43" s="7">
        <v>42</v>
      </c>
      <c r="B43" s="7">
        <v>168</v>
      </c>
      <c r="C43" s="7" t="s">
        <v>113</v>
      </c>
      <c r="D43" s="7" t="s">
        <v>123</v>
      </c>
    </row>
    <row r="44" spans="1:4" ht="15.75" customHeight="1">
      <c r="A44" s="7">
        <v>43</v>
      </c>
      <c r="B44" s="7">
        <v>160</v>
      </c>
      <c r="C44" s="7" t="s">
        <v>126</v>
      </c>
      <c r="D44" s="7" t="s">
        <v>83</v>
      </c>
    </row>
    <row r="45" spans="1:4" ht="15.75" customHeight="1">
      <c r="A45" s="7">
        <v>44</v>
      </c>
      <c r="B45" s="7">
        <v>245</v>
      </c>
      <c r="C45" s="7" t="s">
        <v>113</v>
      </c>
      <c r="D45" s="7" t="s">
        <v>90</v>
      </c>
    </row>
    <row r="46" spans="1:4" ht="15.75" customHeight="1">
      <c r="A46" s="7">
        <v>45</v>
      </c>
      <c r="B46" s="7">
        <v>130</v>
      </c>
      <c r="C46" s="7" t="s">
        <v>120</v>
      </c>
      <c r="D46" s="7" t="s">
        <v>90</v>
      </c>
    </row>
    <row r="47" spans="1:4" ht="15.75" customHeight="1">
      <c r="A47" s="7">
        <v>46</v>
      </c>
      <c r="B47" s="7">
        <v>100</v>
      </c>
      <c r="C47" s="7" t="s">
        <v>120</v>
      </c>
      <c r="D47" s="7" t="s">
        <v>100</v>
      </c>
    </row>
    <row r="48" spans="1:4" ht="15.75" customHeight="1">
      <c r="A48" s="7">
        <v>47</v>
      </c>
      <c r="B48" s="7">
        <v>30</v>
      </c>
      <c r="C48" s="7" t="s">
        <v>126</v>
      </c>
      <c r="D48" s="7" t="s">
        <v>100</v>
      </c>
    </row>
    <row r="49" spans="1:4" ht="15.75" customHeight="1">
      <c r="A49" s="7">
        <v>48</v>
      </c>
      <c r="B49" s="7">
        <v>250</v>
      </c>
      <c r="C49" s="7" t="s">
        <v>113</v>
      </c>
      <c r="D49" s="7" t="s">
        <v>100</v>
      </c>
    </row>
    <row r="50" spans="1:4" ht="15.75" customHeight="1">
      <c r="A50" s="7">
        <v>49</v>
      </c>
      <c r="B50" s="7">
        <v>30</v>
      </c>
      <c r="C50" s="7" t="s">
        <v>120</v>
      </c>
      <c r="D50" s="7" t="s">
        <v>90</v>
      </c>
    </row>
    <row r="51" spans="1:4" ht="15.75" customHeight="1">
      <c r="A51" s="7">
        <v>50</v>
      </c>
      <c r="B51" s="7">
        <v>170</v>
      </c>
      <c r="C51" s="7" t="s">
        <v>120</v>
      </c>
      <c r="D51" s="7" t="s">
        <v>123</v>
      </c>
    </row>
  </sheetData>
  <pageMargins left="0.75" right="0.75" top="1" bottom="1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showGridLines="0" zoomScaleNormal="100" workbookViewId="0"/>
  </sheetViews>
  <sheetFormatPr defaultColWidth="8.7109375" defaultRowHeight="15"/>
  <cols>
    <col min="1" max="2" width="12" customWidth="1"/>
    <col min="3" max="3" width="3" customWidth="1"/>
    <col min="4" max="4" width="16" customWidth="1"/>
    <col min="5" max="5" width="12" customWidth="1"/>
    <col min="6" max="6" width="3" customWidth="1"/>
    <col min="7" max="9" width="12" customWidth="1"/>
    <col min="10" max="10" width="3" customWidth="1"/>
    <col min="11" max="11" width="16" customWidth="1"/>
    <col min="12" max="12" width="12" customWidth="1"/>
  </cols>
  <sheetData>
    <row r="1" spans="1:12" ht="17.45">
      <c r="A1" s="10" t="s">
        <v>129</v>
      </c>
    </row>
    <row r="2" spans="1:12">
      <c r="A2" s="11" t="s">
        <v>130</v>
      </c>
    </row>
    <row r="4" spans="1:12">
      <c r="A4" s="12" t="s">
        <v>131</v>
      </c>
      <c r="B4" s="12" t="s">
        <v>132</v>
      </c>
      <c r="C4" s="13"/>
      <c r="D4" s="12" t="s">
        <v>133</v>
      </c>
      <c r="E4" s="12" t="s">
        <v>132</v>
      </c>
      <c r="F4" s="13"/>
      <c r="G4" s="12" t="s">
        <v>134</v>
      </c>
      <c r="H4" s="12" t="s">
        <v>132</v>
      </c>
      <c r="I4" s="12" t="s">
        <v>135</v>
      </c>
      <c r="J4" s="13"/>
      <c r="K4" s="12" t="s">
        <v>133</v>
      </c>
      <c r="L4" s="12" t="s">
        <v>135</v>
      </c>
    </row>
    <row r="5" spans="1:12">
      <c r="A5" s="13" t="s">
        <v>136</v>
      </c>
      <c r="B5" s="13">
        <f>COUNTIFS(Sheet1!$B$2:$B$51,"&gt;0",Sheet1!$B$2:$B$51,"&lt;=15")</f>
        <v>1</v>
      </c>
      <c r="C5" s="13"/>
      <c r="D5" s="13" t="s">
        <v>137</v>
      </c>
      <c r="E5" s="13">
        <f>COUNTIF(Sheet1!$C$2:$C$51,"studying")+COUNTIF(Sheet1!$C$2:$C$51,"stduying")</f>
        <v>14</v>
      </c>
      <c r="F5" s="13"/>
      <c r="G5" s="13" t="s">
        <v>100</v>
      </c>
      <c r="H5" s="13">
        <f>COUNTIF(Sheet1!$D$2:$D$51,G5)</f>
        <v>10</v>
      </c>
      <c r="I5" s="14">
        <f>IFERROR(AVERAGEIF(Sheet1!$D$2:$D$51,G5,Sheet1!$B$2:$B$51),0)</f>
        <v>78.8</v>
      </c>
      <c r="J5" s="13"/>
      <c r="K5" s="13" t="s">
        <v>137</v>
      </c>
      <c r="L5" s="14">
        <f>(SUMIF(Sheet1!$C$2:$C$51,"studying",Sheet1!$B$2:$B$51)+SUMIF(Sheet1!$C$2:$C$51,"stduying",Sheet1!$B$2:$B$51))/E5</f>
        <v>63.928571428571402</v>
      </c>
    </row>
    <row r="6" spans="1:12">
      <c r="A6" s="13" t="s">
        <v>138</v>
      </c>
      <c r="B6" s="13">
        <f>COUNTIFS(Sheet1!$B$2:$B$51,"&gt;15",Sheet1!$B$2:$B$51,"&lt;=30")</f>
        <v>14</v>
      </c>
      <c r="C6" s="13"/>
      <c r="D6" s="13" t="s">
        <v>139</v>
      </c>
      <c r="E6" s="13">
        <f>COUNTIF(Sheet1!$C$2:$C$51,"resting")</f>
        <v>21</v>
      </c>
      <c r="F6" s="13"/>
      <c r="G6" s="13" t="s">
        <v>123</v>
      </c>
      <c r="H6" s="13">
        <f>COUNTIF(Sheet1!$D$2:$D$51,G6)</f>
        <v>10</v>
      </c>
      <c r="I6" s="14">
        <f>IFERROR(AVERAGEIF(Sheet1!$D$2:$D$51,G6,Sheet1!$B$2:$B$51),0)</f>
        <v>67.3</v>
      </c>
      <c r="J6" s="13"/>
      <c r="K6" s="13" t="s">
        <v>139</v>
      </c>
      <c r="L6" s="14">
        <f>SUMIF(Sheet1!$C$2:$C$51,"resting",Sheet1!$B$2:$B$51)/E6</f>
        <v>110.28571428571399</v>
      </c>
    </row>
    <row r="7" spans="1:12">
      <c r="A7" s="13" t="s">
        <v>140</v>
      </c>
      <c r="B7" s="13">
        <f>COUNTIFS(Sheet1!$B$2:$B$51,"&gt;30",Sheet1!$B$2:$B$51,"&lt;=60")</f>
        <v>14</v>
      </c>
      <c r="C7" s="13"/>
      <c r="D7" s="13" t="s">
        <v>141</v>
      </c>
      <c r="E7" s="13">
        <f>COUNTIF(Sheet1!$C$2:$C$51,"using computer")</f>
        <v>11</v>
      </c>
      <c r="F7" s="13"/>
      <c r="G7" s="13" t="s">
        <v>90</v>
      </c>
      <c r="H7" s="13">
        <f>COUNTIF(Sheet1!$D$2:$D$51,G7)</f>
        <v>14</v>
      </c>
      <c r="I7" s="14">
        <f>IFERROR(AVERAGEIF(Sheet1!$D$2:$D$51,G7,Sheet1!$B$2:$B$51),0)</f>
        <v>108.21428571428601</v>
      </c>
      <c r="J7" s="13"/>
      <c r="K7" s="13" t="s">
        <v>141</v>
      </c>
      <c r="L7" s="14">
        <f>SUMIF(Sheet1!$C$2:$C$51,"using computer",Sheet1!$B$2:$B$51)/E7</f>
        <v>115.90909090909101</v>
      </c>
    </row>
    <row r="8" spans="1:12">
      <c r="A8" s="13" t="s">
        <v>142</v>
      </c>
      <c r="B8" s="13">
        <f>COUNTIFS(Sheet1!$B$2:$B$51,"&gt;60",Sheet1!$B$2:$B$51,"&lt;=120")</f>
        <v>5</v>
      </c>
      <c r="C8" s="13"/>
      <c r="D8" s="13" t="s">
        <v>143</v>
      </c>
      <c r="E8" s="13">
        <f>COUNTIF(Sheet1!$C$2:$C$51,"group meeting")</f>
        <v>3</v>
      </c>
      <c r="F8" s="13"/>
      <c r="G8" s="13" t="s">
        <v>83</v>
      </c>
      <c r="H8" s="13">
        <f>COUNTIF(Sheet1!$D$2:$D$51,G8)</f>
        <v>16</v>
      </c>
      <c r="I8" s="14">
        <f>IFERROR(AVERAGEIF(Sheet1!$D$2:$D$51,G8,Sheet1!$B$2:$B$51),0)</f>
        <v>105.625</v>
      </c>
      <c r="J8" s="13"/>
      <c r="K8" s="13" t="s">
        <v>143</v>
      </c>
      <c r="L8" s="14">
        <f>SUMIF(Sheet1!$C$2:$C$51,"group meeting",Sheet1!$B$2:$B$51)/E8</f>
        <v>40</v>
      </c>
    </row>
    <row r="9" spans="1:12">
      <c r="A9" s="13" t="s">
        <v>144</v>
      </c>
      <c r="B9" s="13">
        <f>COUNTIFS(Sheet1!$B$2:$B$51,"&gt;120",Sheet1!$B$2:$B$51,"&lt;=180")</f>
        <v>12</v>
      </c>
      <c r="C9" s="13"/>
      <c r="D9" s="13" t="s">
        <v>145</v>
      </c>
      <c r="E9" s="13">
        <f>COUNTIF(Sheet1!$C$2:$C$51,"research")</f>
        <v>1</v>
      </c>
      <c r="F9" s="13"/>
      <c r="G9" s="13"/>
      <c r="H9" s="13"/>
      <c r="I9" s="13"/>
      <c r="J9" s="13"/>
      <c r="K9" s="13" t="s">
        <v>145</v>
      </c>
      <c r="L9" s="14">
        <f>SUMIF(Sheet1!$C$2:$C$51,"research",Sheet1!$B$2:$B$51)/E9</f>
        <v>60</v>
      </c>
    </row>
    <row r="10" spans="1:12">
      <c r="A10" s="13" t="s">
        <v>146</v>
      </c>
      <c r="B10" s="13">
        <f>COUNTIFS(Sheet1!$B$2:$B$51,"&gt;180",Sheet1!$B$2:$B$51,"&lt;=240")</f>
        <v>1</v>
      </c>
      <c r="C10" s="13"/>
      <c r="D10" s="15" t="s">
        <v>122</v>
      </c>
      <c r="E10" s="13">
        <f>SUM(E5:E9)</f>
        <v>50</v>
      </c>
      <c r="F10" s="13"/>
      <c r="G10" s="13"/>
      <c r="H10" s="13"/>
      <c r="I10" s="13"/>
      <c r="J10" s="13"/>
      <c r="K10" s="13"/>
      <c r="L10" s="13"/>
    </row>
    <row r="11" spans="1:12">
      <c r="A11" s="13" t="s">
        <v>147</v>
      </c>
      <c r="B11" s="13">
        <f>COUNTIFS(Sheet1!$B$2:$B$51,"&gt;240",Sheet1!$B$2:$B$51,"&lt;=300")</f>
        <v>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5" t="s">
        <v>122</v>
      </c>
      <c r="B12" s="13">
        <f>SUM(B5:B11)</f>
        <v>50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4" spans="1:12">
      <c r="A14" s="11" t="s">
        <v>148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 Perez Jr.</cp:lastModifiedBy>
  <cp:revision>1</cp:revision>
  <dcterms:created xsi:type="dcterms:W3CDTF">2026-10-08T11:41:56Z</dcterms:created>
  <dcterms:modified xsi:type="dcterms:W3CDTF">2026-10-08T11:54:44Z</dcterms:modified>
  <cp:category/>
  <cp:contentStatus/>
</cp:coreProperties>
</file>